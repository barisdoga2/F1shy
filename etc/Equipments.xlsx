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Projects\fishy\etc\"/>
    </mc:Choice>
  </mc:AlternateContent>
  <xr:revisionPtr revIDLastSave="0" documentId="13_ncr:1_{FC1C1C97-135C-4C51-867E-D32ECFE2FB0C}" xr6:coauthVersionLast="45" xr6:coauthVersionMax="45" xr10:uidLastSave="{00000000-0000-0000-0000-000000000000}"/>
  <bookViews>
    <workbookView xWindow="-120" yWindow="-120" windowWidth="29040" windowHeight="15840" xr2:uid="{67EF3107-F6F7-4230-8A5B-285A7C2BD79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19" i="1"/>
  <c r="F18" i="1" l="1"/>
  <c r="F32" i="1"/>
  <c r="F30" i="1"/>
  <c r="F29" i="1"/>
  <c r="F27" i="1"/>
  <c r="F26" i="1"/>
  <c r="F25" i="1"/>
  <c r="F23" i="1"/>
  <c r="F22" i="1"/>
  <c r="F20" i="1"/>
  <c r="F16" i="1"/>
  <c r="F15" i="1"/>
  <c r="F14" i="1"/>
  <c r="F12" i="1"/>
  <c r="F11" i="1"/>
  <c r="F10" i="1"/>
  <c r="F9" i="1"/>
  <c r="F6" i="1"/>
  <c r="F7" i="1"/>
  <c r="F17" i="1"/>
  <c r="F5" i="1"/>
  <c r="F3" i="1"/>
  <c r="F2" i="1"/>
</calcChain>
</file>

<file path=xl/sharedStrings.xml><?xml version="1.0" encoding="utf-8"?>
<sst xmlns="http://schemas.openxmlformats.org/spreadsheetml/2006/main" count="93" uniqueCount="41">
  <si>
    <t>Equipment Name</t>
  </si>
  <si>
    <t>Stock</t>
  </si>
  <si>
    <t>Price</t>
  </si>
  <si>
    <t>3D Model</t>
  </si>
  <si>
    <t>Part</t>
  </si>
  <si>
    <t>Controllers</t>
  </si>
  <si>
    <t>Required Pieces</t>
  </si>
  <si>
    <t>Total Price</t>
  </si>
  <si>
    <t>+</t>
  </si>
  <si>
    <t>Arduino Mega</t>
  </si>
  <si>
    <t>Power Management</t>
  </si>
  <si>
    <t>LM2596-ADJ 3A</t>
  </si>
  <si>
    <t>-</t>
  </si>
  <si>
    <t>ACS712 30A</t>
  </si>
  <si>
    <t>18650 Battery Holder</t>
  </si>
  <si>
    <t>Link</t>
  </si>
  <si>
    <t>Lights</t>
  </si>
  <si>
    <t>5V Relay</t>
  </si>
  <si>
    <t>BC547</t>
  </si>
  <si>
    <t>1N4007</t>
  </si>
  <si>
    <t>LM35</t>
  </si>
  <si>
    <t>Sensors</t>
  </si>
  <si>
    <t>GY-NEO6MV2 GPS</t>
  </si>
  <si>
    <t>Water Pressure Sensor</t>
  </si>
  <si>
    <t>Leak Sensor</t>
  </si>
  <si>
    <t>Flaps</t>
  </si>
  <si>
    <t>Uln2003</t>
  </si>
  <si>
    <t>28BYJ-48</t>
  </si>
  <si>
    <t>Mini Breadboard</t>
  </si>
  <si>
    <t>Pumps</t>
  </si>
  <si>
    <t>Peristaltic Pump</t>
  </si>
  <si>
    <t>L293D</t>
  </si>
  <si>
    <t>Engine</t>
  </si>
  <si>
    <t>12V 1500RPM DC</t>
  </si>
  <si>
    <t>18650 Battery(4.2V 2200mah 1A)</t>
  </si>
  <si>
    <t>Raspberry Pi 3 Model B+</t>
  </si>
  <si>
    <t>Aquarium Hose</t>
  </si>
  <si>
    <t>Other</t>
  </si>
  <si>
    <t>White Led Matrix</t>
  </si>
  <si>
    <t>Raspberry Pi Camera</t>
  </si>
  <si>
    <t>IMU | MPU9255 + BMP180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</si>
</sst>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istan.com/mini-ayarlanabilir-3a-voltaj-regulator-karti-lm2596-adj" TargetMode="External"/><Relationship Id="rId13" Type="http://schemas.openxmlformats.org/officeDocument/2006/relationships/hyperlink" Target="https://www.direnc.net/analog-su-basinc-sensoru" TargetMode="External"/><Relationship Id="rId18" Type="http://schemas.openxmlformats.org/officeDocument/2006/relationships/hyperlink" Target="https://www.direnc.net/l293d-motor-motion-ignition-controllers-drivers-push-pull-4-channel" TargetMode="External"/><Relationship Id="rId3" Type="http://schemas.openxmlformats.org/officeDocument/2006/relationships/hyperlink" Target="https://www.robotistan.com/1n4007-1000v-1a-aksiyel-tipli-diyot-paketi-10-adet" TargetMode="External"/><Relationship Id="rId21" Type="http://schemas.openxmlformats.org/officeDocument/2006/relationships/hyperlink" Target="https://www.hepsiburada.com/hava-hortumu-2-5-mt-bm214-p-PTEVCAM16012" TargetMode="External"/><Relationship Id="rId7" Type="http://schemas.openxmlformats.org/officeDocument/2006/relationships/hyperlink" Target="https://www.robotistan.com/acs712-akim-sensoru-current-sensor-carrier-30-to-30a" TargetMode="External"/><Relationship Id="rId12" Type="http://schemas.openxmlformats.org/officeDocument/2006/relationships/hyperlink" Target="https://www.robotistan.com/gy-neo6mv2-gps-modulu-ucus-kontrol-sistem-gpsi" TargetMode="External"/><Relationship Id="rId17" Type="http://schemas.openxmlformats.org/officeDocument/2006/relationships/hyperlink" Target="https://www.robotistan.com/12v-16mm-1500rpm-reduktorlu-dc-motor" TargetMode="External"/><Relationship Id="rId2" Type="http://schemas.openxmlformats.org/officeDocument/2006/relationships/hyperlink" Target="https://www.robotistan.com/bc547-to92" TargetMode="External"/><Relationship Id="rId16" Type="http://schemas.openxmlformats.org/officeDocument/2006/relationships/hyperlink" Target="https://www.direnc.net/l293d-motor-motion-ignition-controllers-drivers-push-pull-4-channel" TargetMode="External"/><Relationship Id="rId20" Type="http://schemas.openxmlformats.org/officeDocument/2006/relationships/hyperlink" Target="https://www.robotistan.com/uln2003-dip16" TargetMode="External"/><Relationship Id="rId1" Type="http://schemas.openxmlformats.org/officeDocument/2006/relationships/hyperlink" Target="https://www.direnc.net/5v-minyon-spot-role-tianbo--5v-10a" TargetMode="External"/><Relationship Id="rId6" Type="http://schemas.openxmlformats.org/officeDocument/2006/relationships/hyperlink" Target="https://www.robotistan.com/18650-37-v-2200-mah-li-ion-sarjli-pil-kutup-basli" TargetMode="External"/><Relationship Id="rId11" Type="http://schemas.openxmlformats.org/officeDocument/2006/relationships/hyperlink" Target="https://www.robotistan.com/lm35" TargetMode="External"/><Relationship Id="rId5" Type="http://schemas.openxmlformats.org/officeDocument/2006/relationships/hyperlink" Target="https://www.direnc.net/18650-lityum-iyon-pil-yuvasi-2-kanal" TargetMode="External"/><Relationship Id="rId15" Type="http://schemas.openxmlformats.org/officeDocument/2006/relationships/hyperlink" Target="https://www.robotistan.com/12-v-peristaltik-sivi-pompasi-bpt-tup-nkp-dc-b08d" TargetMode="External"/><Relationship Id="rId23" Type="http://schemas.openxmlformats.org/officeDocument/2006/relationships/hyperlink" Target="https://www.robotistan.com/10-dof-imu-sensor-gyro-ivme-olcer-pusula-ve-yukseklik-sensoru-mpu9255-bmp180" TargetMode="External"/><Relationship Id="rId10" Type="http://schemas.openxmlformats.org/officeDocument/2006/relationships/hyperlink" Target="https://www.robotistan.com/arduino-mega2560-r3-klon-usb-kablo-hediyeli-usb-chip-ch340" TargetMode="External"/><Relationship Id="rId19" Type="http://schemas.openxmlformats.org/officeDocument/2006/relationships/hyperlink" Target="https://www.robotistan.com/beyaz-mini-breadboard-breadboard-mini-self-adhesive-white" TargetMode="External"/><Relationship Id="rId4" Type="http://schemas.openxmlformats.org/officeDocument/2006/relationships/hyperlink" Target="https://www.robotistan.com/5mm-seffaf-beyaz-led-paketi-10-adet" TargetMode="External"/><Relationship Id="rId9" Type="http://schemas.openxmlformats.org/officeDocument/2006/relationships/hyperlink" Target="https://www.robotistan.com/raspberry-pi-3-model-b-plus" TargetMode="External"/><Relationship Id="rId14" Type="http://schemas.openxmlformats.org/officeDocument/2006/relationships/hyperlink" Target="https://www.robotistan.com/28-byj-48-reduktorlu-step-motor-ve-uln2003a-step-motor-surucu-karti" TargetMode="External"/><Relationship Id="rId22" Type="http://schemas.openxmlformats.org/officeDocument/2006/relationships/hyperlink" Target="https://www.direnc.net/raspberry-pi-kamera-modu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EA17-958A-492E-9E44-7092A3288BAE}">
  <dimension ref="A1:X42"/>
  <sheetViews>
    <sheetView tabSelected="1" workbookViewId="0">
      <selection activeCell="G20" sqref="G20"/>
    </sheetView>
  </sheetViews>
  <sheetFormatPr defaultRowHeight="15" x14ac:dyDescent="0.25"/>
  <cols>
    <col min="1" max="1" width="29.140625" customWidth="1"/>
    <col min="2" max="2" width="26" customWidth="1"/>
    <col min="3" max="3" width="24.140625" customWidth="1"/>
    <col min="4" max="4" width="17.140625" customWidth="1"/>
    <col min="5" max="5" width="22" customWidth="1"/>
    <col min="6" max="6" width="16.7109375" customWidth="1"/>
    <col min="7" max="7" width="20.7109375" customWidth="1"/>
    <col min="8" max="8" width="49.5703125" customWidth="1"/>
  </cols>
  <sheetData>
    <row r="1" spans="1:24" x14ac:dyDescent="0.25">
      <c r="A1" s="2" t="s">
        <v>0</v>
      </c>
      <c r="B1" s="2" t="s">
        <v>4</v>
      </c>
      <c r="C1" s="2" t="s">
        <v>6</v>
      </c>
      <c r="D1" s="2" t="s">
        <v>1</v>
      </c>
      <c r="E1" s="2" t="s">
        <v>2</v>
      </c>
      <c r="F1" s="2" t="s">
        <v>7</v>
      </c>
      <c r="G1" s="2" t="s">
        <v>15</v>
      </c>
      <c r="H1" s="2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35</v>
      </c>
      <c r="B2" s="1" t="s">
        <v>5</v>
      </c>
      <c r="C2" s="1">
        <v>1</v>
      </c>
      <c r="D2" s="1">
        <v>1</v>
      </c>
      <c r="E2" s="1">
        <v>343.58</v>
      </c>
      <c r="F2" s="1">
        <f>(C2-D2) * E2</f>
        <v>0</v>
      </c>
      <c r="G2" s="4" t="s">
        <v>15</v>
      </c>
      <c r="H2" s="1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9</v>
      </c>
      <c r="B3" s="1" t="s">
        <v>5</v>
      </c>
      <c r="C3" s="1">
        <v>1</v>
      </c>
      <c r="D3" s="1">
        <v>1</v>
      </c>
      <c r="E3" s="1">
        <v>70.819999999999993</v>
      </c>
      <c r="F3" s="1">
        <f>(C3-D3) * E3</f>
        <v>0</v>
      </c>
      <c r="G3" s="3" t="s">
        <v>15</v>
      </c>
      <c r="H3" s="1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11</v>
      </c>
      <c r="B5" s="1" t="s">
        <v>10</v>
      </c>
      <c r="C5" s="1">
        <v>1</v>
      </c>
      <c r="D5" s="1">
        <v>1</v>
      </c>
      <c r="E5" s="1">
        <v>6.12</v>
      </c>
      <c r="F5" s="1">
        <f>(C5-D5) * E5</f>
        <v>0</v>
      </c>
      <c r="G5" s="3" t="s">
        <v>15</v>
      </c>
      <c r="H5" s="1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14</v>
      </c>
      <c r="B6" s="1" t="s">
        <v>10</v>
      </c>
      <c r="C6" s="1">
        <v>3</v>
      </c>
      <c r="D6" s="1">
        <v>3</v>
      </c>
      <c r="E6" s="1">
        <v>21.93</v>
      </c>
      <c r="F6" s="1">
        <f>(C6-D6) * E6</f>
        <v>0</v>
      </c>
      <c r="G6" s="3" t="s">
        <v>15</v>
      </c>
      <c r="H6" s="1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34</v>
      </c>
      <c r="B7" s="1" t="s">
        <v>10</v>
      </c>
      <c r="C7" s="1">
        <v>6</v>
      </c>
      <c r="D7" s="1">
        <v>6</v>
      </c>
      <c r="E7" s="1">
        <v>3.67</v>
      </c>
      <c r="F7" s="1">
        <f>(C7-D7) * E7</f>
        <v>0</v>
      </c>
      <c r="G7" s="4" t="s">
        <v>15</v>
      </c>
      <c r="H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 t="s">
        <v>17</v>
      </c>
      <c r="B9" s="1" t="s">
        <v>16</v>
      </c>
      <c r="C9" s="1">
        <v>1</v>
      </c>
      <c r="D9" s="1">
        <v>0</v>
      </c>
      <c r="E9" s="1">
        <v>3.4</v>
      </c>
      <c r="F9" s="1">
        <f>(C9-D9) * E9</f>
        <v>3.4</v>
      </c>
      <c r="G9" s="3" t="s">
        <v>15</v>
      </c>
      <c r="H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 t="s">
        <v>18</v>
      </c>
      <c r="B10" s="1" t="s">
        <v>16</v>
      </c>
      <c r="C10" s="1">
        <v>1</v>
      </c>
      <c r="D10" s="1">
        <v>0</v>
      </c>
      <c r="E10" s="1">
        <v>0.37</v>
      </c>
      <c r="F10" s="1">
        <f>(C10-D10) * E10</f>
        <v>0.37</v>
      </c>
      <c r="G10" s="3" t="s">
        <v>15</v>
      </c>
      <c r="H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 t="s">
        <v>19</v>
      </c>
      <c r="B11" s="1" t="s">
        <v>16</v>
      </c>
      <c r="C11" s="1">
        <v>10</v>
      </c>
      <c r="D11" s="1">
        <v>0</v>
      </c>
      <c r="E11" s="1">
        <v>0.128</v>
      </c>
      <c r="F11" s="1">
        <f>(C11-D11) * E11</f>
        <v>1.28</v>
      </c>
      <c r="G11" s="3" t="s">
        <v>15</v>
      </c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 t="s">
        <v>38</v>
      </c>
      <c r="B12" s="1" t="s">
        <v>16</v>
      </c>
      <c r="C12" s="1">
        <v>30</v>
      </c>
      <c r="D12" s="1">
        <v>0</v>
      </c>
      <c r="E12" s="1">
        <v>0.183</v>
      </c>
      <c r="F12" s="1">
        <f>(C12-D12) * E12</f>
        <v>5.49</v>
      </c>
      <c r="G12" s="3" t="s">
        <v>15</v>
      </c>
      <c r="H12" s="1" t="s">
        <v>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G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 t="s">
        <v>20</v>
      </c>
      <c r="B14" s="1" t="s">
        <v>21</v>
      </c>
      <c r="C14" s="1">
        <v>1</v>
      </c>
      <c r="D14" s="1">
        <v>1</v>
      </c>
      <c r="E14" s="1">
        <v>11.9</v>
      </c>
      <c r="F14" s="1">
        <f t="shared" ref="F14:F20" si="0">(C14-D14) * E14</f>
        <v>0</v>
      </c>
      <c r="G14" s="3" t="s">
        <v>15</v>
      </c>
      <c r="H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 t="s">
        <v>22</v>
      </c>
      <c r="B15" s="1" t="s">
        <v>21</v>
      </c>
      <c r="C15" s="1">
        <v>1</v>
      </c>
      <c r="D15" s="1">
        <v>1</v>
      </c>
      <c r="E15" s="1">
        <v>68.209999999999994</v>
      </c>
      <c r="F15" s="1">
        <f t="shared" si="0"/>
        <v>0</v>
      </c>
      <c r="G15" s="3" t="s">
        <v>15</v>
      </c>
      <c r="H15" s="1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 t="s">
        <v>23</v>
      </c>
      <c r="B16" s="1" t="s">
        <v>21</v>
      </c>
      <c r="C16" s="1">
        <v>1</v>
      </c>
      <c r="D16" s="1">
        <v>1</v>
      </c>
      <c r="E16" s="1">
        <v>165.25</v>
      </c>
      <c r="F16" s="1">
        <f t="shared" si="0"/>
        <v>0</v>
      </c>
      <c r="G16" s="3" t="s">
        <v>15</v>
      </c>
      <c r="H16" s="1" t="s">
        <v>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 t="s">
        <v>13</v>
      </c>
      <c r="B17" s="1" t="s">
        <v>21</v>
      </c>
      <c r="C17" s="1">
        <v>1</v>
      </c>
      <c r="D17" s="1">
        <v>1</v>
      </c>
      <c r="E17" s="1">
        <v>17.82</v>
      </c>
      <c r="F17" s="1">
        <f t="shared" si="0"/>
        <v>0</v>
      </c>
      <c r="G17" s="3" t="s">
        <v>15</v>
      </c>
      <c r="H17" s="1" t="s">
        <v>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 t="s">
        <v>39</v>
      </c>
      <c r="B18" s="1" t="s">
        <v>21</v>
      </c>
      <c r="C18" s="1">
        <v>1</v>
      </c>
      <c r="D18" s="1">
        <v>1</v>
      </c>
      <c r="E18" s="1">
        <v>132.19999999999999</v>
      </c>
      <c r="F18" s="1">
        <f t="shared" si="0"/>
        <v>0</v>
      </c>
      <c r="G18" s="3" t="s">
        <v>15</v>
      </c>
      <c r="H18" s="1" t="s">
        <v>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 t="s">
        <v>40</v>
      </c>
      <c r="B19" s="1" t="s">
        <v>21</v>
      </c>
      <c r="C19" s="1">
        <v>1</v>
      </c>
      <c r="D19" s="1">
        <v>1</v>
      </c>
      <c r="E19" s="1">
        <v>160.22999999999999</v>
      </c>
      <c r="F19" s="1">
        <f>(C19-D19) * E19</f>
        <v>0</v>
      </c>
      <c r="G19" s="3" t="s">
        <v>15</v>
      </c>
      <c r="H19" s="1" t="s">
        <v>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 t="s">
        <v>24</v>
      </c>
      <c r="B20" s="1" t="s">
        <v>21</v>
      </c>
      <c r="C20" s="1">
        <v>1</v>
      </c>
      <c r="D20" s="1">
        <v>1</v>
      </c>
      <c r="E20" s="1">
        <v>0</v>
      </c>
      <c r="F20" s="1">
        <f>(C20-D20) * E20</f>
        <v>0</v>
      </c>
      <c r="G20" s="1"/>
      <c r="H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 t="s">
        <v>26</v>
      </c>
      <c r="B22" s="1" t="s">
        <v>25</v>
      </c>
      <c r="C22" s="1">
        <v>2</v>
      </c>
      <c r="D22" s="1">
        <v>2</v>
      </c>
      <c r="E22" s="1">
        <v>2.2000000000000002</v>
      </c>
      <c r="F22" s="1">
        <f>(C22-D22) * E22</f>
        <v>0</v>
      </c>
      <c r="G22" s="3" t="s">
        <v>15</v>
      </c>
      <c r="H22" s="1" t="s">
        <v>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 t="s">
        <v>27</v>
      </c>
      <c r="B23" s="1" t="s">
        <v>25</v>
      </c>
      <c r="C23" s="1">
        <v>2</v>
      </c>
      <c r="D23" s="1">
        <v>0</v>
      </c>
      <c r="E23" s="1">
        <v>17.36</v>
      </c>
      <c r="F23" s="1">
        <f>(C23-D23) * E23</f>
        <v>34.72</v>
      </c>
      <c r="G23" s="3" t="s">
        <v>15</v>
      </c>
      <c r="H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3"/>
      <c r="H24" s="1" t="s">
        <v>12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 t="s">
        <v>30</v>
      </c>
      <c r="B25" s="1" t="s">
        <v>29</v>
      </c>
      <c r="C25" s="1">
        <v>2</v>
      </c>
      <c r="D25" s="1">
        <v>1</v>
      </c>
      <c r="E25" s="1">
        <v>71.41</v>
      </c>
      <c r="F25" s="1">
        <f>(C25-D25) * E25</f>
        <v>71.41</v>
      </c>
      <c r="G25" s="3" t="s">
        <v>15</v>
      </c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 t="s">
        <v>36</v>
      </c>
      <c r="B26" s="1" t="s">
        <v>29</v>
      </c>
      <c r="C26" s="1">
        <v>1</v>
      </c>
      <c r="D26" s="1">
        <v>0</v>
      </c>
      <c r="E26" s="1">
        <v>10.7</v>
      </c>
      <c r="F26" s="1">
        <f>(C26-D26) * E26</f>
        <v>10.7</v>
      </c>
      <c r="G26" s="3" t="s">
        <v>15</v>
      </c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 t="s">
        <v>31</v>
      </c>
      <c r="B27" s="1" t="s">
        <v>29</v>
      </c>
      <c r="C27" s="1">
        <v>2</v>
      </c>
      <c r="D27" s="1">
        <v>2</v>
      </c>
      <c r="E27" s="1">
        <v>8.26</v>
      </c>
      <c r="F27" s="1">
        <f>(C27-D27) * E27</f>
        <v>0</v>
      </c>
      <c r="G27" s="3" t="s">
        <v>15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3"/>
      <c r="H28" s="1" t="s">
        <v>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 t="s">
        <v>33</v>
      </c>
      <c r="B29" s="1" t="s">
        <v>32</v>
      </c>
      <c r="C29" s="1">
        <v>1</v>
      </c>
      <c r="D29" s="1">
        <v>0</v>
      </c>
      <c r="E29" s="1">
        <v>55.12</v>
      </c>
      <c r="F29" s="1">
        <f>(C29-D29) * E29</f>
        <v>55.12</v>
      </c>
      <c r="G29" s="3" t="s">
        <v>15</v>
      </c>
      <c r="H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 t="s">
        <v>31</v>
      </c>
      <c r="B30" s="1" t="s">
        <v>32</v>
      </c>
      <c r="C30" s="1">
        <v>1</v>
      </c>
      <c r="D30" s="1">
        <v>0</v>
      </c>
      <c r="E30" s="1">
        <v>8.26</v>
      </c>
      <c r="F30" s="1">
        <f>(C30-D30) * E30</f>
        <v>8.26</v>
      </c>
      <c r="G30" s="3" t="s">
        <v>15</v>
      </c>
      <c r="H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3"/>
      <c r="H31" s="1" t="s">
        <v>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 t="s">
        <v>28</v>
      </c>
      <c r="B32" s="1" t="s">
        <v>37</v>
      </c>
      <c r="C32" s="1">
        <v>5</v>
      </c>
      <c r="D32" s="1">
        <v>2</v>
      </c>
      <c r="E32" s="1">
        <v>3.66</v>
      </c>
      <c r="F32" s="1">
        <f>(C32-D32) * E32</f>
        <v>10.98</v>
      </c>
      <c r="G32" s="3" t="s">
        <v>15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F35" s="5">
        <f>SUM(F2:F32)</f>
        <v>201.72999999999996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</sheetData>
  <hyperlinks>
    <hyperlink ref="G9" r:id="rId1" xr:uid="{8B290166-2089-401F-A2F1-CB92E81BB982}"/>
    <hyperlink ref="G10" r:id="rId2" xr:uid="{1B700B4E-D473-484B-A4DC-3C214951F330}"/>
    <hyperlink ref="G11" r:id="rId3" xr:uid="{31DE04CA-D905-4CED-BDD5-6E6031E80779}"/>
    <hyperlink ref="G12" r:id="rId4" xr:uid="{01A1FD8A-169F-42EA-BFCE-126D9FD484C6}"/>
    <hyperlink ref="G6" r:id="rId5" xr:uid="{B8FC3618-A36F-4894-93E0-9346B34456E8}"/>
    <hyperlink ref="G7" r:id="rId6" xr:uid="{FE423C21-C083-4E29-A65E-709CC166E1C1}"/>
    <hyperlink ref="G17" r:id="rId7" xr:uid="{09B2E4A3-2CD2-4926-A145-89E10C6D28BC}"/>
    <hyperlink ref="G5" r:id="rId8" xr:uid="{A8B9B161-3749-4901-9A38-2994E0A5CED5}"/>
    <hyperlink ref="G2" r:id="rId9" xr:uid="{8D0E4AB1-8076-4689-99B8-8C5E5F74BB48}"/>
    <hyperlink ref="G3" r:id="rId10" xr:uid="{10485871-9BE9-403D-8B6F-7CBD27662A40}"/>
    <hyperlink ref="G14" r:id="rId11" xr:uid="{2AAA9A57-BC5D-4775-A453-132B57665484}"/>
    <hyperlink ref="G15" r:id="rId12" xr:uid="{045A218C-1C82-4F6F-85AD-F9C7EA0B7AF8}"/>
    <hyperlink ref="G16" r:id="rId13" xr:uid="{FF6A6733-E897-42F8-A3E7-8BF0019268F4}"/>
    <hyperlink ref="G23" r:id="rId14" xr:uid="{FAB30F0D-BB98-46C5-9957-8F301D849BEC}"/>
    <hyperlink ref="G25" r:id="rId15" xr:uid="{D8BE970B-BA8B-48EE-AF26-E830C17B60E0}"/>
    <hyperlink ref="G27" r:id="rId16" xr:uid="{54E80C99-ECD7-4844-BCA0-6127A1A4534F}"/>
    <hyperlink ref="G29" r:id="rId17" xr:uid="{014F55E5-C89F-4F40-91DD-91AEF722F3D8}"/>
    <hyperlink ref="G30" r:id="rId18" xr:uid="{807E8F30-BFCA-46DA-8CED-F0ABD1442193}"/>
    <hyperlink ref="G32" r:id="rId19" xr:uid="{438CB9E2-7816-4BF2-97DC-1BBAE08F69CA}"/>
    <hyperlink ref="G22" r:id="rId20" xr:uid="{FEAD6EAC-18E3-4FE9-B979-FCCDFD4B4392}"/>
    <hyperlink ref="G26" r:id="rId21" xr:uid="{4C6EB190-F001-4A0F-8D08-AC325A8E9E3D}"/>
    <hyperlink ref="G18" r:id="rId22" xr:uid="{2FAB9321-D368-4ED1-9354-50F0B99F12DD}"/>
    <hyperlink ref="G19" r:id="rId23" xr:uid="{2C7600DF-7170-4ABF-84F0-C756A690B1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Doğa Yavaş</dc:creator>
  <cp:lastModifiedBy>Barış Doğa Yavaş</cp:lastModifiedBy>
  <dcterms:created xsi:type="dcterms:W3CDTF">2020-10-06T13:21:13Z</dcterms:created>
  <dcterms:modified xsi:type="dcterms:W3CDTF">2020-10-07T12:42:40Z</dcterms:modified>
</cp:coreProperties>
</file>